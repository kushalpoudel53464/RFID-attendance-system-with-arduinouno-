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120" yWindow="60" windowWidth="15180" windowHeight="9348" tabRatio="795"/>
  </bookViews>
  <sheets>
    <sheet name="Sheet1" sheetId="1" r:id="rId1"/>
    <sheet name="Sheet2" sheetId="35" r:id="rId2"/>
    <sheet name="PLXDAQ_new_Settings" sheetId="6" state="hidden" r:id="rId3"/>
  </sheets>
  <functionGroups/>
  <definedNames>
    <definedName name="_xlnm._FilterDatabase" localSheetId="0" hidden="1">Sheet1!$A$1:$H$3455</definedName>
  </definedNames>
  <calcPr calcId="124519"/>
</workbook>
</file>

<file path=xl/calcChain.xml><?xml version="1.0" encoding="utf-8"?>
<calcChain xmlns="http://schemas.openxmlformats.org/spreadsheetml/2006/main">
  <c r="D3" i="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"/>
</calcChain>
</file>

<file path=xl/sharedStrings.xml><?xml version="1.0" encoding="utf-8"?>
<sst xmlns="http://schemas.openxmlformats.org/spreadsheetml/2006/main" count="41" uniqueCount="36">
  <si>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</si>
  <si>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</si>
  <si>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</si>
  <si>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</si>
  <si>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</si>
  <si>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</si>
  <si>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</si>
  <si>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</si>
  <si>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</si>
  <si>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</si>
  <si>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</si>
  <si>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</si>
  <si>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</si>
  <si>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</si>
  <si>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</si>
  <si>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</si>
  <si>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</si>
  <si>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</si>
  <si>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</si>
  <si>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RFID UID</t>
  </si>
  <si>
    <t>F9FBDE62</t>
  </si>
  <si>
    <t>RFID</t>
  </si>
  <si>
    <t>Name</t>
  </si>
  <si>
    <t>NAME</t>
  </si>
  <si>
    <t>Sheet1</t>
  </si>
  <si>
    <t>499A965D</t>
  </si>
  <si>
    <t xml:space="preserve">Abhishek jha </t>
  </si>
  <si>
    <t>kushal poudel</t>
  </si>
  <si>
    <t>D9A7975D</t>
  </si>
  <si>
    <t>mukesh bastola</t>
  </si>
  <si>
    <t>19BE965D</t>
  </si>
  <si>
    <t>abhishek pandey</t>
  </si>
  <si>
    <t>F9172660</t>
  </si>
  <si>
    <t>mayank shah</t>
  </si>
  <si>
    <t>642DD133</t>
  </si>
  <si>
    <t xml:space="preserve">pankaj bhattarai </t>
  </si>
</sst>
</file>

<file path=xl/styles.xml><?xml version="1.0" encoding="utf-8"?>
<styleSheet xmlns="http://schemas.openxmlformats.org/spreadsheetml/2006/main">
  <numFmts count="1">
    <numFmt numFmtId="164" formatCode="0.000000"/>
  </numFmts>
  <fonts count="5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844"/>
  <sheetViews>
    <sheetView tabSelected="1" workbookViewId="0">
      <pane ySplit="1" topLeftCell="A2" activePane="bottomLeft" state="frozen"/>
      <selection pane="bottomLeft" activeCell="A6" sqref="A6"/>
    </sheetView>
  </sheetViews>
  <sheetFormatPr defaultColWidth="11.5546875" defaultRowHeight="13.2"/>
  <cols>
    <col min="1" max="1" width="15.6640625" style="5" customWidth="1"/>
    <col min="2" max="2" width="15" style="5" customWidth="1"/>
    <col min="3" max="3" width="12.5546875" style="10" bestFit="1" customWidth="1"/>
    <col min="4" max="4" width="15.88671875" style="11" bestFit="1" customWidth="1"/>
    <col min="5" max="5" width="17.5546875" style="5" customWidth="1"/>
    <col min="6" max="6" width="9.109375" style="10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>
      <c r="A1" s="6" t="s">
        <v>17</v>
      </c>
      <c r="B1" s="6" t="s">
        <v>18</v>
      </c>
      <c r="C1" s="12" t="s">
        <v>19</v>
      </c>
      <c r="D1" s="6" t="s">
        <v>23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>
      <c r="A2" s="13">
        <v>45307</v>
      </c>
      <c r="B2" s="14">
        <v>0.91847222222222225</v>
      </c>
      <c r="C2" s="7" t="s">
        <v>32</v>
      </c>
      <c r="D2" s="7" t="str">
        <f>IFERROR(VLOOKUP(C2, Sheet2!A:B, 2, FALSE), "")</f>
        <v>mayank shah</v>
      </c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>
      <c r="A3" s="13">
        <v>45307</v>
      </c>
      <c r="B3" s="15">
        <v>0.91870370370370369</v>
      </c>
      <c r="C3" s="8" t="s">
        <v>34</v>
      </c>
      <c r="D3" s="7" t="str">
        <f>IFERROR(VLOOKUP(C3, Sheet2!A:B, 2, FALSE), "")</f>
        <v xml:space="preserve">pankaj bhattarai 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>
      <c r="A4" s="13">
        <v>45307</v>
      </c>
      <c r="B4" s="14">
        <v>0.91899305555555555</v>
      </c>
      <c r="C4" s="7" t="s">
        <v>32</v>
      </c>
      <c r="D4" s="7" t="str">
        <f>IFERROR(VLOOKUP(C4, Sheet2!A:B, 2, FALSE), "")</f>
        <v>mayank shah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>
      <c r="A5" s="13">
        <v>45307</v>
      </c>
      <c r="B5" s="14">
        <v>0.91902777777777789</v>
      </c>
      <c r="C5" s="7" t="s">
        <v>34</v>
      </c>
      <c r="D5" s="7" t="str">
        <f>IFERROR(VLOOKUP(C5, Sheet2!A:B, 2, FALSE), "")</f>
        <v xml:space="preserve">pankaj bhattarai </v>
      </c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>
      <c r="A6" s="7"/>
      <c r="B6" s="7"/>
      <c r="C6" s="9"/>
      <c r="D6" s="7" t="str">
        <f>IFERROR(VLOOKUP(C6, Sheet2!A:B, 2, FALSE), "")</f>
        <v/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>
      <c r="A7" s="7"/>
      <c r="B7" s="7"/>
      <c r="C7" s="7"/>
      <c r="D7" s="7" t="str">
        <f>IFERROR(VLOOKUP(C7, Sheet2!A:B, 2, FALSE), "")</f>
        <v/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>
      <c r="A8" s="7"/>
      <c r="B8" s="7"/>
      <c r="C8" s="7"/>
      <c r="D8" s="7" t="str">
        <f>IFERROR(VLOOKUP(C8, Sheet2!A:B, 2, FALSE), "")</f>
        <v/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>
      <c r="A9" s="7"/>
      <c r="B9" s="7"/>
      <c r="C9" s="8"/>
      <c r="D9" s="7" t="str">
        <f>IFERROR(VLOOKUP(C9, Sheet2!A:B, 2, FALSE), "")</f>
        <v/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>
      <c r="A10" s="7"/>
      <c r="B10" s="7"/>
      <c r="C10" s="7"/>
      <c r="D10" s="7" t="str">
        <f>IFERROR(VLOOKUP(C10, Sheet2!A:B, 2, FALSE), "")</f>
        <v/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>
      <c r="A11" s="7"/>
      <c r="B11" s="7"/>
      <c r="C11" s="9"/>
      <c r="D11" s="7" t="str">
        <f>IFERROR(VLOOKUP(C11, Sheet2!A:B, 2, FALSE), "")</f>
        <v/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>
      <c r="A12" s="7"/>
      <c r="B12" s="7"/>
      <c r="C12" s="7"/>
      <c r="D12" s="7" t="str">
        <f>IFERROR(VLOOKUP(C12, Sheet2!A:B, 2, FALSE), "")</f>
        <v/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>
      <c r="A13" s="7"/>
      <c r="B13" s="8"/>
      <c r="C13" s="7"/>
      <c r="D13" s="7" t="str">
        <f>IFERROR(VLOOKUP(C13, Sheet2!A:B, 2, FALSE), "")</f>
        <v/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>
      <c r="A14" s="7"/>
      <c r="B14" s="7"/>
      <c r="C14" s="7"/>
      <c r="D14" s="7" t="str">
        <f>IFERROR(VLOOKUP(C14, Sheet2!A:B, 2, FALSE), "")</f>
        <v/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>
      <c r="A15" s="7"/>
      <c r="B15" s="7"/>
      <c r="C15" s="7"/>
      <c r="D15" s="7" t="str">
        <f>IFERROR(VLOOKUP(C15, Sheet2!A:B, 2, FALSE), "")</f>
        <v/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>
      <c r="A16" s="7"/>
      <c r="B16" s="7"/>
      <c r="C16" s="7"/>
      <c r="D16" s="7" t="str">
        <f>IFERROR(VLOOKUP(C16, Sheet2!A:B, 2, FALSE), "")</f>
        <v/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>
      <c r="A17" s="7"/>
      <c r="B17" s="7"/>
      <c r="C17" s="7"/>
      <c r="D17" s="7" t="str">
        <f>IFERROR(VLOOKUP(C17, Sheet2!A:B, 2, FALSE), "")</f>
        <v/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>
      <c r="A18" s="7"/>
      <c r="B18" s="7"/>
      <c r="C18" s="7"/>
      <c r="D18" s="7" t="str">
        <f>IFERROR(VLOOKUP(C18, Sheet2!A:B, 2, FALSE), "")</f>
        <v/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>
      <c r="A19" s="7"/>
      <c r="B19" s="7"/>
      <c r="C19" s="7"/>
      <c r="D19" s="7" t="str">
        <f>IFERROR(VLOOKUP(C19, Sheet2!A:B, 2, FALSE), "")</f>
        <v/>
      </c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>
      <c r="A20" s="7"/>
      <c r="B20" s="7"/>
      <c r="C20" s="8"/>
      <c r="D20" s="7" t="str">
        <f>IFERROR(VLOOKUP(C20, Sheet2!A:B, 2, FALSE), "")</f>
        <v/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>
      <c r="A21" s="7"/>
      <c r="B21" s="7"/>
      <c r="C21" s="7"/>
      <c r="D21" s="7" t="str">
        <f>IFERROR(VLOOKUP(C21, Sheet2!A:B, 2, FALSE), "")</f>
        <v/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>
      <c r="A22" s="7"/>
      <c r="B22" s="7"/>
      <c r="C22" s="7"/>
      <c r="D22" s="7" t="str">
        <f>IFERROR(VLOOKUP(C22, Sheet2!A:B, 2, FALSE), "")</f>
        <v/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>
      <c r="A23" s="7"/>
      <c r="B23" s="7"/>
      <c r="C23" s="7"/>
      <c r="D23" s="7" t="str">
        <f>IFERROR(VLOOKUP(C23, Sheet2!A:B, 2, FALSE), "")</f>
        <v/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>
      <c r="A24" s="7"/>
      <c r="B24" s="7"/>
      <c r="C24" s="7"/>
      <c r="D24" s="7" t="str">
        <f>IFERROR(VLOOKUP(C24, Sheet2!A:B, 2, FALSE), "")</f>
        <v/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>
      <c r="A25" s="7"/>
      <c r="B25" s="7"/>
      <c r="C25" s="7"/>
      <c r="D25" s="7" t="str">
        <f>IFERROR(VLOOKUP(C25, Sheet2!A:B, 2, FALSE), "")</f>
        <v/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30"/>
  <dimension ref="A1:E29"/>
  <sheetViews>
    <sheetView workbookViewId="0">
      <selection activeCell="A8" sqref="A8"/>
    </sheetView>
  </sheetViews>
  <sheetFormatPr defaultColWidth="11.44140625" defaultRowHeight="13.2"/>
  <cols>
    <col min="2" max="2" width="14.33203125" customWidth="1"/>
  </cols>
  <sheetData>
    <row r="1" spans="1:2">
      <c r="A1" s="1" t="s">
        <v>21</v>
      </c>
      <c r="B1" s="1" t="s">
        <v>22</v>
      </c>
    </row>
    <row r="2" spans="1:2">
      <c r="A2" s="7" t="s">
        <v>25</v>
      </c>
      <c r="B2" s="1" t="s">
        <v>26</v>
      </c>
    </row>
    <row r="3" spans="1:2">
      <c r="A3" s="8" t="s">
        <v>20</v>
      </c>
      <c r="B3" s="1" t="s">
        <v>27</v>
      </c>
    </row>
    <row r="4" spans="1:2">
      <c r="A4" s="7" t="s">
        <v>28</v>
      </c>
      <c r="B4" s="1" t="s">
        <v>29</v>
      </c>
    </row>
    <row r="5" spans="1:2">
      <c r="A5" s="7" t="s">
        <v>30</v>
      </c>
      <c r="B5" s="1" t="s">
        <v>31</v>
      </c>
    </row>
    <row r="6" spans="1:2">
      <c r="A6" s="9" t="s">
        <v>32</v>
      </c>
      <c r="B6" s="1" t="s">
        <v>33</v>
      </c>
    </row>
    <row r="7" spans="1:2">
      <c r="A7" s="7" t="s">
        <v>34</v>
      </c>
      <c r="B7" s="1" t="s">
        <v>35</v>
      </c>
    </row>
    <row r="8" spans="1:2">
      <c r="A8" s="8" t="s">
        <v>34</v>
      </c>
    </row>
    <row r="28" spans="4:5">
      <c r="D28" s="1"/>
    </row>
    <row r="29" spans="4: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B2:M18"/>
  <sheetViews>
    <sheetView workbookViewId="0">
      <selection activeCell="C25" sqref="C25"/>
    </sheetView>
  </sheetViews>
  <sheetFormatPr defaultColWidth="11.44140625" defaultRowHeight="13.2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/>
    <row r="3" spans="2:13" ht="12.75" customHeight="1">
      <c r="B3" s="1" t="s">
        <v>0</v>
      </c>
      <c r="C3" s="3">
        <v>5</v>
      </c>
      <c r="E3" s="16" t="s">
        <v>3</v>
      </c>
      <c r="F3" s="17"/>
    </row>
    <row r="4" spans="2:13" ht="12.75" customHeight="1">
      <c r="B4" s="1" t="s">
        <v>1</v>
      </c>
      <c r="C4" s="3">
        <v>9600</v>
      </c>
      <c r="E4" s="18"/>
      <c r="F4" s="19"/>
    </row>
    <row r="5" spans="2:13" ht="12.75" customHeight="1">
      <c r="B5" s="1" t="s">
        <v>2</v>
      </c>
      <c r="C5" s="2" t="b">
        <v>1</v>
      </c>
      <c r="E5" s="18"/>
      <c r="F5" s="19"/>
    </row>
    <row r="6" spans="2:13" ht="12.75" customHeight="1">
      <c r="B6" s="1" t="s">
        <v>5</v>
      </c>
      <c r="C6" s="2" t="b">
        <v>1</v>
      </c>
      <c r="E6" s="18"/>
      <c r="F6" s="19"/>
    </row>
    <row r="7" spans="2:13" ht="12.75" customHeight="1">
      <c r="B7" s="1" t="s">
        <v>6</v>
      </c>
      <c r="C7" s="2" t="b">
        <v>0</v>
      </c>
      <c r="E7" s="18"/>
      <c r="F7" s="19"/>
      <c r="M7" s="1"/>
    </row>
    <row r="8" spans="2:13" ht="12.75" customHeight="1">
      <c r="B8" s="1" t="s">
        <v>7</v>
      </c>
      <c r="C8" s="2" t="b">
        <v>0</v>
      </c>
      <c r="E8" s="18"/>
      <c r="F8" s="19"/>
      <c r="L8" s="1"/>
      <c r="M8" s="1"/>
    </row>
    <row r="9" spans="2:13" ht="12.75" customHeight="1">
      <c r="B9" s="1" t="s">
        <v>4</v>
      </c>
      <c r="C9" s="3" t="s">
        <v>24</v>
      </c>
      <c r="E9" s="18"/>
      <c r="F9" s="19"/>
      <c r="M9" s="1"/>
    </row>
    <row r="10" spans="2:13" ht="13.5" customHeight="1">
      <c r="B10" s="1" t="s">
        <v>9</v>
      </c>
      <c r="C10" s="2" t="b">
        <v>1</v>
      </c>
      <c r="E10" s="18"/>
      <c r="F10" s="19"/>
    </row>
    <row r="11" spans="2:13" ht="13.5" customHeight="1">
      <c r="B11" s="1" t="s">
        <v>8</v>
      </c>
      <c r="C11" s="2" t="b">
        <v>1</v>
      </c>
      <c r="E11" s="18"/>
      <c r="F11" s="19"/>
    </row>
    <row r="12" spans="2:13" ht="12.75" customHeight="1">
      <c r="B12" s="1" t="s">
        <v>10</v>
      </c>
      <c r="C12" s="2" t="b">
        <v>1</v>
      </c>
      <c r="E12" s="18"/>
      <c r="F12" s="19"/>
    </row>
    <row r="13" spans="2:13" ht="12.75" customHeight="1">
      <c r="B13" s="1" t="s">
        <v>11</v>
      </c>
      <c r="C13" s="2" t="b">
        <v>1</v>
      </c>
      <c r="E13" s="18"/>
      <c r="F13" s="19"/>
    </row>
    <row r="14" spans="2:13" ht="13.5" customHeight="1">
      <c r="B14" s="1" t="s">
        <v>12</v>
      </c>
      <c r="C14" s="2">
        <v>553.25</v>
      </c>
      <c r="E14" s="18"/>
      <c r="F14" s="19"/>
    </row>
    <row r="15" spans="2:13">
      <c r="B15" s="1" t="s">
        <v>13</v>
      </c>
      <c r="C15" s="3">
        <v>1024</v>
      </c>
      <c r="E15" s="18"/>
      <c r="F15" s="19"/>
    </row>
    <row r="16" spans="2:13">
      <c r="B16" s="1" t="s">
        <v>14</v>
      </c>
      <c r="C16" s="3">
        <v>1024</v>
      </c>
      <c r="E16" s="18"/>
      <c r="F16" s="19"/>
    </row>
    <row r="17" spans="2:6">
      <c r="B17" s="1" t="s">
        <v>15</v>
      </c>
      <c r="C17" s="3">
        <v>1024</v>
      </c>
      <c r="E17" s="18"/>
      <c r="F17" s="19"/>
    </row>
    <row r="18" spans="2:6" ht="13.8" thickBot="1">
      <c r="B18" s="1" t="s">
        <v>16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PLXDAQ_new_Settings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Dell</cp:lastModifiedBy>
  <dcterms:created xsi:type="dcterms:W3CDTF">2002-07-12T16:49:39Z</dcterms:created>
  <dcterms:modified xsi:type="dcterms:W3CDTF">2024-01-16T16:36:02Z</dcterms:modified>
</cp:coreProperties>
</file>